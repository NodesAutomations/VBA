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yzen2600x\Downloads\SendCommandTo Autocad Excel VBA  Beam\"/>
    </mc:Choice>
  </mc:AlternateContent>
  <xr:revisionPtr revIDLastSave="0" documentId="13_ncr:1_{8DBFFB4E-6356-4D63-A8E1-D4EB50AD834A}" xr6:coauthVersionLast="47" xr6:coauthVersionMax="47" xr10:uidLastSave="{00000000-0000-0000-0000-000000000000}"/>
  <bookViews>
    <workbookView xWindow="-120" yWindow="-120" windowWidth="38640" windowHeight="21390" xr2:uid="{00000000-000D-0000-FFFF-FFFF00000000}"/>
  </bookViews>
  <sheets>
    <sheet name="Drawbeam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0" i="2" l="1"/>
  <c r="K30" i="2"/>
  <c r="L29" i="2"/>
  <c r="K29" i="2"/>
  <c r="L28" i="2"/>
  <c r="K28" i="2"/>
  <c r="L27" i="2"/>
  <c r="K27" i="2"/>
  <c r="L26" i="2"/>
  <c r="K26" i="2"/>
  <c r="L25" i="2"/>
  <c r="K25" i="2"/>
  <c r="L24" i="2"/>
  <c r="K24" i="2"/>
  <c r="L23" i="2"/>
  <c r="K23" i="2"/>
  <c r="L22" i="2"/>
  <c r="K22" i="2"/>
  <c r="L21" i="2"/>
  <c r="K21" i="2"/>
  <c r="K20" i="2"/>
  <c r="L20" i="2"/>
  <c r="L19" i="2"/>
  <c r="K19" i="2"/>
</calcChain>
</file>

<file path=xl/sharedStrings.xml><?xml version="1.0" encoding="utf-8"?>
<sst xmlns="http://schemas.openxmlformats.org/spreadsheetml/2006/main" count="62" uniqueCount="37">
  <si>
    <t>SEND AUTOCAD COMMAND FROM EXCEL</t>
  </si>
  <si>
    <t>Height</t>
  </si>
  <si>
    <t>mm</t>
  </si>
  <si>
    <t xml:space="preserve">No of top Bar </t>
  </si>
  <si>
    <t xml:space="preserve">No of bottom Bar </t>
  </si>
  <si>
    <t>Clear cover</t>
  </si>
  <si>
    <t>Size</t>
  </si>
  <si>
    <t xml:space="preserve">DRAW BEAM </t>
  </si>
  <si>
    <t>Beam Dimension</t>
  </si>
  <si>
    <t>Length</t>
  </si>
  <si>
    <t>A</t>
  </si>
  <si>
    <t>B</t>
  </si>
  <si>
    <t xml:space="preserve">Width </t>
  </si>
  <si>
    <t>P1</t>
  </si>
  <si>
    <t>X</t>
  </si>
  <si>
    <t>Y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</si>
  <si>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</si>
  <si>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</si>
  <si>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</si>
  <si>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</si>
  <si>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</si>
  <si>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</si>
  <si>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</si>
  <si>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</si>
  <si>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</si>
  <si>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</si>
  <si>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</si>
  <si>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Origin</t>
  </si>
  <si>
    <t>Stirrup Spacing</t>
  </si>
  <si>
    <t>Stirrup Size</t>
  </si>
  <si>
    <t>Left Support</t>
  </si>
  <si>
    <t>Right Support</t>
  </si>
  <si>
    <t>Middle</t>
  </si>
  <si>
    <t>Beam Reinforcement details</t>
  </si>
  <si>
    <t>Distance</t>
  </si>
  <si>
    <t>Email : Rodkamd@gmail.com</t>
  </si>
  <si>
    <t>Rodrigue Kamdieun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</si>
</sst>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rgb="FF006100"/>
      <name val="Calibri"/>
      <family val="2"/>
      <scheme val="minor"/>
    </font>
    <font>
      <sz val="16"/>
      <color rgb="FF9C0006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</cellStyleXfs>
  <cellXfs count="24">
    <xf numFmtId="0" fontId="0" fillId="0" borderId="0" xfId="0"/>
    <xf numFmtId="0" fontId="0" fillId="4" borderId="0" xfId="0" applyFill="1"/>
    <xf numFmtId="0" fontId="1" fillId="4" borderId="0" xfId="0" applyFont="1" applyFill="1"/>
    <xf numFmtId="0" fontId="7" fillId="4" borderId="0" xfId="0" applyFont="1" applyFill="1"/>
    <xf numFmtId="0" fontId="10" fillId="0" borderId="0" xfId="0" applyFont="1" applyAlignment="1">
      <alignment horizontal="center"/>
    </xf>
    <xf numFmtId="0" fontId="9" fillId="5" borderId="0" xfId="0" applyFont="1" applyFill="1"/>
    <xf numFmtId="0" fontId="9" fillId="6" borderId="0" xfId="0" applyFont="1" applyFill="1"/>
    <xf numFmtId="0" fontId="0" fillId="8" borderId="1" xfId="0" applyFill="1" applyBorder="1" applyAlignment="1">
      <alignment horizontal="center"/>
    </xf>
    <xf numFmtId="0" fontId="6" fillId="8" borderId="2" xfId="0" applyFont="1" applyFill="1" applyBorder="1" applyAlignment="1">
      <alignment horizontal="center"/>
    </xf>
    <xf numFmtId="0" fontId="6" fillId="8" borderId="3" xfId="0" applyFont="1" applyFill="1" applyBorder="1" applyAlignment="1">
      <alignment horizontal="center"/>
    </xf>
    <xf numFmtId="0" fontId="1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9" fillId="4" borderId="0" xfId="0" applyFont="1" applyFill="1"/>
    <xf numFmtId="0" fontId="9" fillId="7" borderId="0" xfId="0" applyFont="1" applyFill="1"/>
    <xf numFmtId="0" fontId="7" fillId="5" borderId="0" xfId="0" applyFont="1" applyFill="1"/>
    <xf numFmtId="0" fontId="7" fillId="6" borderId="0" xfId="0" applyFont="1" applyFill="1"/>
    <xf numFmtId="0" fontId="7" fillId="7" borderId="0" xfId="0" applyFont="1" applyFill="1"/>
    <xf numFmtId="0" fontId="11" fillId="2" borderId="0" xfId="1" applyFont="1"/>
    <xf numFmtId="0" fontId="12" fillId="3" borderId="0" xfId="2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8" fillId="4" borderId="0" xfId="0" applyFont="1" applyFill="1" applyAlignment="1">
      <alignment horizontal="center"/>
    </xf>
    <xf numFmtId="0" fontId="10" fillId="9" borderId="0" xfId="0" applyFont="1" applyFill="1" applyAlignment="1">
      <alignment horizontal="center"/>
    </xf>
  </cellXfs>
  <cellStyles count="3">
    <cellStyle name="Bad" xfId="2" builtinId="27"/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204439</xdr:colOff>
      <xdr:row>13</xdr:row>
      <xdr:rowOff>159272</xdr:rowOff>
    </xdr:from>
    <xdr:to>
      <xdr:col>18</xdr:col>
      <xdr:colOff>292905</xdr:colOff>
      <xdr:row>13</xdr:row>
      <xdr:rowOff>198487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>
          <a:off x="5316927" y="3242714"/>
          <a:ext cx="7424931" cy="39215"/>
        </a:xfrm>
        <a:prstGeom prst="straightConnector1">
          <a:avLst/>
        </a:prstGeom>
        <a:ln w="12700">
          <a:solidFill>
            <a:srgbClr val="00206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608299</xdr:colOff>
      <xdr:row>8</xdr:row>
      <xdr:rowOff>44047</xdr:rowOff>
    </xdr:from>
    <xdr:to>
      <xdr:col>10</xdr:col>
      <xdr:colOff>608299</xdr:colOff>
      <xdr:row>11</xdr:row>
      <xdr:rowOff>196447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>
          <a:off x="6741470" y="2023388"/>
          <a:ext cx="0" cy="802888"/>
        </a:xfrm>
        <a:prstGeom prst="straightConnector1">
          <a:avLst/>
        </a:prstGeom>
        <a:ln w="12700">
          <a:solidFill>
            <a:srgbClr val="00206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312420</xdr:colOff>
      <xdr:row>13</xdr:row>
      <xdr:rowOff>60960</xdr:rowOff>
    </xdr:from>
    <xdr:to>
      <xdr:col>19</xdr:col>
      <xdr:colOff>350520</xdr:colOff>
      <xdr:row>13</xdr:row>
      <xdr:rowOff>60960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CxnSpPr/>
      </xdr:nvCxnSpPr>
      <xdr:spPr>
        <a:xfrm>
          <a:off x="11285220" y="3116580"/>
          <a:ext cx="647700" cy="0"/>
        </a:xfrm>
        <a:prstGeom prst="straightConnector1">
          <a:avLst/>
        </a:prstGeom>
        <a:ln w="12700">
          <a:solidFill>
            <a:srgbClr val="00206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13</xdr:row>
      <xdr:rowOff>68580</xdr:rowOff>
    </xdr:from>
    <xdr:to>
      <xdr:col>6</xdr:col>
      <xdr:colOff>259080</xdr:colOff>
      <xdr:row>13</xdr:row>
      <xdr:rowOff>68580</xdr:rowOff>
    </xdr:to>
    <xdr:cxnSp macro="">
      <xdr:nvCxnSpPr>
        <xdr:cNvPr id="42" name="Straight Arrow Connector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CxnSpPr/>
      </xdr:nvCxnSpPr>
      <xdr:spPr>
        <a:xfrm>
          <a:off x="3162300" y="3124200"/>
          <a:ext cx="754380" cy="0"/>
        </a:xfrm>
        <a:prstGeom prst="straightConnector1">
          <a:avLst/>
        </a:prstGeom>
        <a:ln w="12700">
          <a:solidFill>
            <a:srgbClr val="00206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11</xdr:col>
      <xdr:colOff>304800</xdr:colOff>
      <xdr:row>12</xdr:row>
      <xdr:rowOff>144780</xdr:rowOff>
    </xdr:from>
    <xdr:ext cx="691151" cy="311496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 txBox="1"/>
      </xdr:nvSpPr>
      <xdr:spPr>
        <a:xfrm>
          <a:off x="7010400" y="2971800"/>
          <a:ext cx="69115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ZA" sz="1400" b="1">
              <a:solidFill>
                <a:srgbClr val="002060"/>
              </a:solidFill>
            </a:rPr>
            <a:t>Length</a:t>
          </a:r>
        </a:p>
      </xdr:txBody>
    </xdr:sp>
    <xdr:clientData/>
  </xdr:oneCellAnchor>
  <xdr:oneCellAnchor>
    <xdr:from>
      <xdr:col>11</xdr:col>
      <xdr:colOff>39773</xdr:colOff>
      <xdr:row>9</xdr:row>
      <xdr:rowOff>122849</xdr:rowOff>
    </xdr:from>
    <xdr:ext cx="676211" cy="311496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 txBox="1"/>
      </xdr:nvSpPr>
      <xdr:spPr>
        <a:xfrm>
          <a:off x="6786261" y="2288044"/>
          <a:ext cx="67621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ZA" sz="1400" b="1">
              <a:solidFill>
                <a:srgbClr val="002060"/>
              </a:solidFill>
            </a:rPr>
            <a:t>Height</a:t>
          </a:r>
        </a:p>
      </xdr:txBody>
    </xdr:sp>
    <xdr:clientData/>
  </xdr:oneCellAnchor>
  <xdr:oneCellAnchor>
    <xdr:from>
      <xdr:col>5</xdr:col>
      <xdr:colOff>342900</xdr:colOff>
      <xdr:row>12</xdr:row>
      <xdr:rowOff>53340</xdr:rowOff>
    </xdr:from>
    <xdr:ext cx="293478" cy="311496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3390900" y="2880360"/>
          <a:ext cx="29347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ZA" sz="1400" b="1">
              <a:solidFill>
                <a:srgbClr val="002060"/>
              </a:solidFill>
            </a:rPr>
            <a:t>A</a:t>
          </a:r>
        </a:p>
      </xdr:txBody>
    </xdr:sp>
    <xdr:clientData/>
  </xdr:oneCellAnchor>
  <xdr:oneCellAnchor>
    <xdr:from>
      <xdr:col>18</xdr:col>
      <xdr:colOff>510540</xdr:colOff>
      <xdr:row>12</xdr:row>
      <xdr:rowOff>38100</xdr:rowOff>
    </xdr:from>
    <xdr:ext cx="293478" cy="311496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11483340" y="2865120"/>
          <a:ext cx="29347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ZA" sz="1400" b="1">
              <a:solidFill>
                <a:srgbClr val="002060"/>
              </a:solidFill>
            </a:rPr>
            <a:t>B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171450</xdr:rowOff>
        </xdr:from>
        <xdr:to>
          <xdr:col>8</xdr:col>
          <xdr:colOff>285750</xdr:colOff>
          <xdr:row>19</xdr:row>
          <xdr:rowOff>238125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250457</xdr:colOff>
      <xdr:row>8</xdr:row>
      <xdr:rowOff>160115</xdr:rowOff>
    </xdr:from>
    <xdr:to>
      <xdr:col>15</xdr:col>
      <xdr:colOff>111511</xdr:colOff>
      <xdr:row>9</xdr:row>
      <xdr:rowOff>176556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4680690" y="2142644"/>
          <a:ext cx="5952623" cy="204726"/>
          <a:chOff x="3009900" y="2186940"/>
          <a:chExt cx="3208020" cy="199672"/>
        </a:xfrm>
      </xdr:grpSpPr>
      <xdr:cxnSp macro="">
        <xdr:nvCxnSpPr>
          <xdr:cNvPr id="48" name="Straight Connector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CxnSpPr/>
        </xdr:nvCxnSpPr>
        <xdr:spPr>
          <a:xfrm>
            <a:off x="3009900" y="2186940"/>
            <a:ext cx="3208020" cy="0"/>
          </a:xfrm>
          <a:prstGeom prst="line">
            <a:avLst/>
          </a:prstGeom>
          <a:ln w="19050">
            <a:solidFill>
              <a:srgbClr val="7030A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CxnSpPr/>
        </xdr:nvCxnSpPr>
        <xdr:spPr>
          <a:xfrm>
            <a:off x="3012226" y="2188492"/>
            <a:ext cx="0" cy="198120"/>
          </a:xfrm>
          <a:prstGeom prst="line">
            <a:avLst/>
          </a:prstGeom>
          <a:ln w="19050">
            <a:solidFill>
              <a:srgbClr val="7030A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232317</xdr:colOff>
      <xdr:row>10</xdr:row>
      <xdr:rowOff>213731</xdr:rowOff>
    </xdr:from>
    <xdr:to>
      <xdr:col>19</xdr:col>
      <xdr:colOff>216705</xdr:colOff>
      <xdr:row>11</xdr:row>
      <xdr:rowOff>157976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 rot="10800000">
          <a:off x="7099177" y="2628208"/>
          <a:ext cx="6075958" cy="187908"/>
          <a:chOff x="3002280" y="2179320"/>
          <a:chExt cx="3215640" cy="198120"/>
        </a:xfrm>
      </xdr:grpSpPr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CxnSpPr/>
        </xdr:nvCxnSpPr>
        <xdr:spPr>
          <a:xfrm>
            <a:off x="3009900" y="2186940"/>
            <a:ext cx="3208020" cy="0"/>
          </a:xfrm>
          <a:prstGeom prst="line">
            <a:avLst/>
          </a:prstGeom>
          <a:ln w="19050">
            <a:solidFill>
              <a:srgbClr val="7030A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CxnSpPr/>
        </xdr:nvCxnSpPr>
        <xdr:spPr>
          <a:xfrm>
            <a:off x="3002280" y="2179320"/>
            <a:ext cx="0" cy="198120"/>
          </a:xfrm>
          <a:prstGeom prst="line">
            <a:avLst/>
          </a:prstGeom>
          <a:ln w="19050">
            <a:solidFill>
              <a:srgbClr val="7030A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243840</xdr:colOff>
      <xdr:row>10</xdr:row>
      <xdr:rowOff>185853</xdr:rowOff>
    </xdr:from>
    <xdr:to>
      <xdr:col>10</xdr:col>
      <xdr:colOff>511098</xdr:colOff>
      <xdr:row>11</xdr:row>
      <xdr:rowOff>120803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GrpSpPr/>
      </xdr:nvGrpSpPr>
      <xdr:grpSpPr>
        <a:xfrm flipV="1">
          <a:off x="4674073" y="2600330"/>
          <a:ext cx="3313042" cy="178613"/>
          <a:chOff x="3002280" y="2179320"/>
          <a:chExt cx="3215640" cy="198120"/>
        </a:xfrm>
      </xdr:grpSpPr>
      <xdr:cxnSp macro="">
        <xdr:nvCxnSpPr>
          <xdr:cNvPr id="57" name="Straight Connector 56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CxnSpPr/>
        </xdr:nvCxnSpPr>
        <xdr:spPr>
          <a:xfrm>
            <a:off x="3009900" y="2186940"/>
            <a:ext cx="3208020" cy="0"/>
          </a:xfrm>
          <a:prstGeom prst="line">
            <a:avLst/>
          </a:prstGeom>
          <a:ln w="19050">
            <a:solidFill>
              <a:srgbClr val="7030A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Straight Connector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CxnSpPr/>
        </xdr:nvCxnSpPr>
        <xdr:spPr>
          <a:xfrm>
            <a:off x="3002280" y="2179320"/>
            <a:ext cx="0" cy="198120"/>
          </a:xfrm>
          <a:prstGeom prst="line">
            <a:avLst/>
          </a:prstGeom>
          <a:ln w="19050">
            <a:solidFill>
              <a:srgbClr val="7030A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492882</xdr:colOff>
      <xdr:row>4</xdr:row>
      <xdr:rowOff>42374</xdr:rowOff>
    </xdr:from>
    <xdr:to>
      <xdr:col>20</xdr:col>
      <xdr:colOff>551983</xdr:colOff>
      <xdr:row>16</xdr:row>
      <xdr:rowOff>79743</xdr:rowOff>
    </xdr:to>
    <xdr:grpSp>
      <xdr:nvGrpSpPr>
        <xdr:cNvPr id="62" name="Group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GrpSpPr/>
      </xdr:nvGrpSpPr>
      <xdr:grpSpPr>
        <a:xfrm>
          <a:off x="4313958" y="1194234"/>
          <a:ext cx="9805612" cy="2662282"/>
          <a:chOff x="2753214" y="1287780"/>
          <a:chExt cx="5719175" cy="2415426"/>
        </a:xfrm>
      </xdr:grpSpPr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GrpSpPr/>
        </xdr:nvGrpSpPr>
        <xdr:grpSpPr>
          <a:xfrm>
            <a:off x="2910840" y="1554480"/>
            <a:ext cx="5097780" cy="1866900"/>
            <a:chOff x="5875020" y="1623060"/>
            <a:chExt cx="5250180" cy="1363980"/>
          </a:xfrm>
        </xdr:grpSpPr>
        <xdr:grpSp>
          <xdr:nvGrpSpPr>
            <xdr:cNvPr id="10" name="Group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GrpSpPr/>
          </xdr:nvGrpSpPr>
          <xdr:grpSpPr>
            <a:xfrm>
              <a:off x="6286500" y="1623060"/>
              <a:ext cx="4450080" cy="1348740"/>
              <a:chOff x="6286500" y="1623060"/>
              <a:chExt cx="4450080" cy="1348740"/>
            </a:xfrm>
          </xdr:grpSpPr>
          <xdr:cxnSp macro="">
            <xdr:nvCxnSpPr>
              <xdr:cNvPr id="3" name="Straight Connector 2">
                <a:extLst>
                  <a:ext uri="{FF2B5EF4-FFF2-40B4-BE49-F238E27FC236}">
                    <a16:creationId xmlns:a16="http://schemas.microsoft.com/office/drawing/2014/main" id="{00000000-0008-0000-0000-000003000000}"/>
                  </a:ext>
                </a:extLst>
              </xdr:cNvPr>
              <xdr:cNvCxnSpPr/>
            </xdr:nvCxnSpPr>
            <xdr:spPr>
              <a:xfrm flipV="1">
                <a:off x="6286500" y="1996440"/>
                <a:ext cx="4442460" cy="7620"/>
              </a:xfrm>
              <a:prstGeom prst="line">
                <a:avLst/>
              </a:prstGeom>
              <a:ln w="12700">
                <a:solidFill>
                  <a:schemeClr val="tx1"/>
                </a:solidFill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4" name="Straight Connector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CxnSpPr/>
            </xdr:nvCxnSpPr>
            <xdr:spPr>
              <a:xfrm flipV="1">
                <a:off x="6294120" y="2590800"/>
                <a:ext cx="4442460" cy="7620"/>
              </a:xfrm>
              <a:prstGeom prst="line">
                <a:avLst/>
              </a:prstGeom>
              <a:ln w="12700">
                <a:solidFill>
                  <a:schemeClr val="tx1"/>
                </a:solidFill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6" name="Straight Connector 5">
                <a:extLst>
                  <a:ext uri="{FF2B5EF4-FFF2-40B4-BE49-F238E27FC236}">
                    <a16:creationId xmlns:a16="http://schemas.microsoft.com/office/drawing/2014/main" id="{00000000-0008-0000-0000-000006000000}"/>
                  </a:ext>
                </a:extLst>
              </xdr:cNvPr>
              <xdr:cNvCxnSpPr/>
            </xdr:nvCxnSpPr>
            <xdr:spPr>
              <a:xfrm flipV="1">
                <a:off x="6294120" y="1630680"/>
                <a:ext cx="0" cy="373380"/>
              </a:xfrm>
              <a:prstGeom prst="line">
                <a:avLst/>
              </a:prstGeom>
              <a:ln w="127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7" name="Straight Connector 6">
                <a:extLst>
                  <a:ext uri="{FF2B5EF4-FFF2-40B4-BE49-F238E27FC236}">
                    <a16:creationId xmlns:a16="http://schemas.microsoft.com/office/drawing/2014/main" id="{00000000-0008-0000-0000-000007000000}"/>
                  </a:ext>
                </a:extLst>
              </xdr:cNvPr>
              <xdr:cNvCxnSpPr/>
            </xdr:nvCxnSpPr>
            <xdr:spPr>
              <a:xfrm flipV="1">
                <a:off x="10728960" y="1623060"/>
                <a:ext cx="0" cy="373380"/>
              </a:xfrm>
              <a:prstGeom prst="line">
                <a:avLst/>
              </a:prstGeom>
              <a:ln w="127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" name="Straight Connector 7">
                <a:extLst>
                  <a:ext uri="{FF2B5EF4-FFF2-40B4-BE49-F238E27FC236}">
                    <a16:creationId xmlns:a16="http://schemas.microsoft.com/office/drawing/2014/main" id="{00000000-0008-0000-0000-000008000000}"/>
                  </a:ext>
                </a:extLst>
              </xdr:cNvPr>
              <xdr:cNvCxnSpPr/>
            </xdr:nvCxnSpPr>
            <xdr:spPr>
              <a:xfrm flipV="1">
                <a:off x="6301740" y="2598420"/>
                <a:ext cx="0" cy="373380"/>
              </a:xfrm>
              <a:prstGeom prst="line">
                <a:avLst/>
              </a:prstGeom>
              <a:ln w="127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" name="Straight Connector 8">
                <a:extLst>
                  <a:ext uri="{FF2B5EF4-FFF2-40B4-BE49-F238E27FC236}">
                    <a16:creationId xmlns:a16="http://schemas.microsoft.com/office/drawing/2014/main" id="{00000000-0008-0000-0000-000009000000}"/>
                  </a:ext>
                </a:extLst>
              </xdr:cNvPr>
              <xdr:cNvCxnSpPr/>
            </xdr:nvCxnSpPr>
            <xdr:spPr>
              <a:xfrm flipV="1">
                <a:off x="10728960" y="2598420"/>
                <a:ext cx="0" cy="373380"/>
              </a:xfrm>
              <a:prstGeom prst="line">
                <a:avLst/>
              </a:prstGeom>
              <a:ln w="127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2" name="Straight Connector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CxnSpPr/>
          </xdr:nvCxnSpPr>
          <xdr:spPr>
            <a:xfrm>
              <a:off x="5875020" y="1638300"/>
              <a:ext cx="0" cy="134874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3" name="Straight Connector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CxnSpPr/>
          </xdr:nvCxnSpPr>
          <xdr:spPr>
            <a:xfrm>
              <a:off x="11125200" y="1623060"/>
              <a:ext cx="0" cy="134874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52" name="Group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GrpSpPr/>
        </xdr:nvGrpSpPr>
        <xdr:grpSpPr>
          <a:xfrm>
            <a:off x="2753214" y="1287780"/>
            <a:ext cx="5719175" cy="2415426"/>
            <a:chOff x="2753214" y="1287780"/>
            <a:chExt cx="5719175" cy="2415426"/>
          </a:xfrm>
        </xdr:grpSpPr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 txBox="1"/>
          </xdr:nvSpPr>
          <xdr:spPr>
            <a:xfrm>
              <a:off x="2789989" y="3304072"/>
              <a:ext cx="397866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ZA" sz="1600" b="1">
                  <a:solidFill>
                    <a:srgbClr val="FF0000"/>
                  </a:solidFill>
                </a:rPr>
                <a:t>P1</a:t>
              </a:r>
            </a:p>
          </xdr:txBody>
        </xdr:sp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 txBox="1"/>
          </xdr:nvSpPr>
          <xdr:spPr>
            <a:xfrm>
              <a:off x="2753214" y="1324324"/>
              <a:ext cx="397866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ZA" sz="1600" b="1">
                  <a:solidFill>
                    <a:srgbClr val="FF0000"/>
                  </a:solidFill>
                </a:rPr>
                <a:t>P2</a:t>
              </a:r>
            </a:p>
          </xdr:txBody>
        </xdr:sp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 txBox="1"/>
          </xdr:nvSpPr>
          <xdr:spPr>
            <a:xfrm>
              <a:off x="3299460" y="1379220"/>
              <a:ext cx="397866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ZA" sz="1600" b="1">
                  <a:solidFill>
                    <a:srgbClr val="FF0000"/>
                  </a:solidFill>
                </a:rPr>
                <a:t>P3</a:t>
              </a:r>
            </a:p>
          </xdr:txBody>
        </xdr:sp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 txBox="1"/>
          </xdr:nvSpPr>
          <xdr:spPr>
            <a:xfrm>
              <a:off x="3305417" y="1833261"/>
              <a:ext cx="397866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ZA" sz="1600" b="1">
                  <a:solidFill>
                    <a:srgbClr val="FF0000"/>
                  </a:solidFill>
                </a:rPr>
                <a:t>P4</a:t>
              </a:r>
            </a:p>
          </xdr:txBody>
        </xdr:sp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 txBox="1"/>
          </xdr:nvSpPr>
          <xdr:spPr>
            <a:xfrm>
              <a:off x="3307654" y="2798221"/>
              <a:ext cx="397866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ZA" sz="1600" b="1">
                  <a:solidFill>
                    <a:srgbClr val="FF0000"/>
                  </a:solidFill>
                </a:rPr>
                <a:t>P8</a:t>
              </a:r>
            </a:p>
          </xdr:txBody>
        </xdr:sp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 txBox="1"/>
          </xdr:nvSpPr>
          <xdr:spPr>
            <a:xfrm>
              <a:off x="3256966" y="3322320"/>
              <a:ext cx="397866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ZA" sz="1600" b="1">
                  <a:solidFill>
                    <a:srgbClr val="FF0000"/>
                  </a:solidFill>
                </a:rPr>
                <a:t>P7</a:t>
              </a:r>
            </a:p>
          </xdr:txBody>
        </xdr:sp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SpPr txBox="1"/>
          </xdr:nvSpPr>
          <xdr:spPr>
            <a:xfrm>
              <a:off x="7429500" y="3360420"/>
              <a:ext cx="501869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ZA" sz="1600" b="1">
                  <a:solidFill>
                    <a:srgbClr val="FF0000"/>
                  </a:solidFill>
                </a:rPr>
                <a:t>P10</a:t>
              </a:r>
            </a:p>
          </xdr:txBody>
        </xdr:sp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:cNvPr>
            <xdr:cNvSpPr txBox="1"/>
          </xdr:nvSpPr>
          <xdr:spPr>
            <a:xfrm>
              <a:off x="7611211" y="2755534"/>
              <a:ext cx="397866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ZA" sz="1600" b="1">
                  <a:solidFill>
                    <a:srgbClr val="FF0000"/>
                  </a:solidFill>
                </a:rPr>
                <a:t>P9</a:t>
              </a:r>
            </a:p>
          </xdr:txBody>
        </xdr:sp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SpPr txBox="1"/>
          </xdr:nvSpPr>
          <xdr:spPr>
            <a:xfrm>
              <a:off x="7603097" y="1909537"/>
              <a:ext cx="397866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ZA" sz="1600" b="1">
                  <a:solidFill>
                    <a:srgbClr val="FF0000"/>
                  </a:solidFill>
                </a:rPr>
                <a:t>P5</a:t>
              </a:r>
            </a:p>
          </xdr:txBody>
        </xdr:sp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SpPr txBox="1"/>
          </xdr:nvSpPr>
          <xdr:spPr>
            <a:xfrm>
              <a:off x="7406640" y="1287780"/>
              <a:ext cx="397866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ZA" sz="1600" b="1">
                  <a:solidFill>
                    <a:srgbClr val="FF0000"/>
                  </a:solidFill>
                </a:rPr>
                <a:t>P6</a:t>
              </a:r>
            </a:p>
          </xdr:txBody>
        </xdr:sp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SpPr txBox="1"/>
          </xdr:nvSpPr>
          <xdr:spPr>
            <a:xfrm>
              <a:off x="7932420" y="1363980"/>
              <a:ext cx="501869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ZA" sz="1600" b="1">
                  <a:solidFill>
                    <a:srgbClr val="FF0000"/>
                  </a:solidFill>
                </a:rPr>
                <a:t>P11</a:t>
              </a:r>
            </a:p>
          </xdr:txBody>
        </xdr:sp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SpPr txBox="1"/>
          </xdr:nvSpPr>
          <xdr:spPr>
            <a:xfrm>
              <a:off x="7970520" y="3299460"/>
              <a:ext cx="501869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ZA" sz="1600" b="1">
                  <a:solidFill>
                    <a:srgbClr val="FF0000"/>
                  </a:solidFill>
                </a:rPr>
                <a:t>P12</a:t>
              </a:r>
            </a:p>
          </xdr:txBody>
        </xdr:sp>
        <xdr:grpSp>
          <xdr:nvGrpSpPr>
            <xdr:cNvPr id="59" name="Group 58">
              <a:extLst>
                <a:ext uri="{FF2B5EF4-FFF2-40B4-BE49-F238E27FC236}">
                  <a16:creationId xmlns:a16="http://schemas.microsoft.com/office/drawing/2014/main" id="{00000000-0008-0000-0000-00003B000000}"/>
                </a:ext>
              </a:extLst>
            </xdr:cNvPr>
            <xdr:cNvGrpSpPr/>
          </xdr:nvGrpSpPr>
          <xdr:grpSpPr>
            <a:xfrm flipH="1">
              <a:off x="5794656" y="2170116"/>
              <a:ext cx="2139937" cy="207299"/>
              <a:chOff x="2984867" y="2124396"/>
              <a:chExt cx="2139937" cy="207299"/>
            </a:xfrm>
          </xdr:grpSpPr>
          <xdr:cxnSp macro="">
            <xdr:nvCxnSpPr>
              <xdr:cNvPr id="60" name="Straight Connector 59">
                <a:extLst>
                  <a:ext uri="{FF2B5EF4-FFF2-40B4-BE49-F238E27FC236}">
                    <a16:creationId xmlns:a16="http://schemas.microsoft.com/office/drawing/2014/main" id="{00000000-0008-0000-0000-00003C000000}"/>
                  </a:ext>
                </a:extLst>
              </xdr:cNvPr>
              <xdr:cNvCxnSpPr/>
            </xdr:nvCxnSpPr>
            <xdr:spPr>
              <a:xfrm flipV="1">
                <a:off x="2984867" y="2124396"/>
                <a:ext cx="2139937" cy="10707"/>
              </a:xfrm>
              <a:prstGeom prst="line">
                <a:avLst/>
              </a:prstGeom>
              <a:ln w="19050">
                <a:solidFill>
                  <a:srgbClr val="7030A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61" name="Straight Connector 60">
                <a:extLst>
                  <a:ext uri="{FF2B5EF4-FFF2-40B4-BE49-F238E27FC236}">
                    <a16:creationId xmlns:a16="http://schemas.microsoft.com/office/drawing/2014/main" id="{00000000-0008-0000-0000-00003D000000}"/>
                  </a:ext>
                </a:extLst>
              </xdr:cNvPr>
              <xdr:cNvCxnSpPr/>
            </xdr:nvCxnSpPr>
            <xdr:spPr>
              <a:xfrm>
                <a:off x="2986130" y="2133575"/>
                <a:ext cx="0" cy="198120"/>
              </a:xfrm>
              <a:prstGeom prst="line">
                <a:avLst/>
              </a:prstGeom>
              <a:ln w="19050">
                <a:solidFill>
                  <a:srgbClr val="7030A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</xdr:grpSp>
    <xdr:clientData/>
  </xdr:twoCellAnchor>
  <xdr:twoCellAnchor>
    <xdr:from>
      <xdr:col>6</xdr:col>
      <xdr:colOff>371707</xdr:colOff>
      <xdr:row>8</xdr:row>
      <xdr:rowOff>111513</xdr:rowOff>
    </xdr:from>
    <xdr:to>
      <xdr:col>6</xdr:col>
      <xdr:colOff>371707</xdr:colOff>
      <xdr:row>11</xdr:row>
      <xdr:rowOff>176562</xdr:rowOff>
    </xdr:to>
    <xdr:cxnSp macro="">
      <xdr:nvCxnSpPr>
        <xdr:cNvPr id="2060" name="Straight Connector 2059">
          <a:extLst>
            <a:ext uri="{FF2B5EF4-FFF2-40B4-BE49-F238E27FC236}">
              <a16:creationId xmlns:a16="http://schemas.microsoft.com/office/drawing/2014/main" id="{00000000-0008-0000-0000-00000C080000}"/>
            </a:ext>
          </a:extLst>
        </xdr:cNvPr>
        <xdr:cNvCxnSpPr/>
      </xdr:nvCxnSpPr>
      <xdr:spPr>
        <a:xfrm>
          <a:off x="4051609" y="2090854"/>
          <a:ext cx="0" cy="715537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486937</xdr:colOff>
      <xdr:row>8</xdr:row>
      <xdr:rowOff>115230</xdr:rowOff>
    </xdr:from>
    <xdr:to>
      <xdr:col>6</xdr:col>
      <xdr:colOff>486937</xdr:colOff>
      <xdr:row>11</xdr:row>
      <xdr:rowOff>180279</xdr:rowOff>
    </xdr:to>
    <xdr:cxnSp macro="">
      <xdr:nvCxnSpPr>
        <xdr:cNvPr id="79" name="Straight Connector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CxnSpPr/>
      </xdr:nvCxnSpPr>
      <xdr:spPr>
        <a:xfrm>
          <a:off x="4166839" y="2094571"/>
          <a:ext cx="0" cy="715537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583580</xdr:colOff>
      <xdr:row>8</xdr:row>
      <xdr:rowOff>109654</xdr:rowOff>
    </xdr:from>
    <xdr:to>
      <xdr:col>6</xdr:col>
      <xdr:colOff>583580</xdr:colOff>
      <xdr:row>11</xdr:row>
      <xdr:rowOff>174703</xdr:rowOff>
    </xdr:to>
    <xdr:cxnSp macro="">
      <xdr:nvCxnSpPr>
        <xdr:cNvPr id="80" name="Straight Connector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CxnSpPr/>
      </xdr:nvCxnSpPr>
      <xdr:spPr>
        <a:xfrm>
          <a:off x="4263482" y="2088995"/>
          <a:ext cx="0" cy="715537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85491</xdr:colOff>
      <xdr:row>8</xdr:row>
      <xdr:rowOff>113371</xdr:rowOff>
    </xdr:from>
    <xdr:to>
      <xdr:col>7</xdr:col>
      <xdr:colOff>85491</xdr:colOff>
      <xdr:row>11</xdr:row>
      <xdr:rowOff>178420</xdr:rowOff>
    </xdr:to>
    <xdr:cxnSp macro="">
      <xdr:nvCxnSpPr>
        <xdr:cNvPr id="81" name="Straight Connector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CxnSpPr/>
      </xdr:nvCxnSpPr>
      <xdr:spPr>
        <a:xfrm>
          <a:off x="4378711" y="2092712"/>
          <a:ext cx="0" cy="715537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182136</xdr:colOff>
      <xdr:row>8</xdr:row>
      <xdr:rowOff>107796</xdr:rowOff>
    </xdr:from>
    <xdr:to>
      <xdr:col>7</xdr:col>
      <xdr:colOff>182136</xdr:colOff>
      <xdr:row>11</xdr:row>
      <xdr:rowOff>172845</xdr:rowOff>
    </xdr:to>
    <xdr:cxnSp macro="">
      <xdr:nvCxnSpPr>
        <xdr:cNvPr id="82" name="Straight Connector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CxnSpPr/>
      </xdr:nvCxnSpPr>
      <xdr:spPr>
        <a:xfrm>
          <a:off x="4475356" y="2087137"/>
          <a:ext cx="0" cy="715537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288072</xdr:colOff>
      <xdr:row>8</xdr:row>
      <xdr:rowOff>102220</xdr:rowOff>
    </xdr:from>
    <xdr:to>
      <xdr:col>7</xdr:col>
      <xdr:colOff>288072</xdr:colOff>
      <xdr:row>11</xdr:row>
      <xdr:rowOff>167269</xdr:rowOff>
    </xdr:to>
    <xdr:cxnSp macro="">
      <xdr:nvCxnSpPr>
        <xdr:cNvPr id="83" name="Straight Connector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CxnSpPr/>
      </xdr:nvCxnSpPr>
      <xdr:spPr>
        <a:xfrm>
          <a:off x="4581292" y="2081561"/>
          <a:ext cx="0" cy="715537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431180</xdr:colOff>
      <xdr:row>8</xdr:row>
      <xdr:rowOff>115230</xdr:rowOff>
    </xdr:from>
    <xdr:to>
      <xdr:col>17</xdr:col>
      <xdr:colOff>431180</xdr:colOff>
      <xdr:row>11</xdr:row>
      <xdr:rowOff>180279</xdr:rowOff>
    </xdr:to>
    <xdr:cxnSp macro="">
      <xdr:nvCxnSpPr>
        <xdr:cNvPr id="84" name="Straight Connector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CxnSpPr/>
      </xdr:nvCxnSpPr>
      <xdr:spPr>
        <a:xfrm>
          <a:off x="10857570" y="2094571"/>
          <a:ext cx="0" cy="715537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574288</xdr:colOff>
      <xdr:row>8</xdr:row>
      <xdr:rowOff>109654</xdr:rowOff>
    </xdr:from>
    <xdr:to>
      <xdr:col>17</xdr:col>
      <xdr:colOff>574288</xdr:colOff>
      <xdr:row>11</xdr:row>
      <xdr:rowOff>174703</xdr:rowOff>
    </xdr:to>
    <xdr:cxnSp macro="">
      <xdr:nvCxnSpPr>
        <xdr:cNvPr id="85" name="Straight Connector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CxnSpPr/>
      </xdr:nvCxnSpPr>
      <xdr:spPr>
        <a:xfrm>
          <a:off x="11000678" y="2088995"/>
          <a:ext cx="0" cy="715537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104077</xdr:colOff>
      <xdr:row>8</xdr:row>
      <xdr:rowOff>104079</xdr:rowOff>
    </xdr:from>
    <xdr:to>
      <xdr:col>18</xdr:col>
      <xdr:colOff>104077</xdr:colOff>
      <xdr:row>11</xdr:row>
      <xdr:rowOff>169128</xdr:rowOff>
    </xdr:to>
    <xdr:cxnSp macro="">
      <xdr:nvCxnSpPr>
        <xdr:cNvPr id="86" name="Straight Connector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CxnSpPr/>
      </xdr:nvCxnSpPr>
      <xdr:spPr>
        <a:xfrm>
          <a:off x="11143784" y="2083420"/>
          <a:ext cx="0" cy="715537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459057</xdr:colOff>
      <xdr:row>8</xdr:row>
      <xdr:rowOff>105937</xdr:rowOff>
    </xdr:from>
    <xdr:to>
      <xdr:col>7</xdr:col>
      <xdr:colOff>459057</xdr:colOff>
      <xdr:row>11</xdr:row>
      <xdr:rowOff>170986</xdr:rowOff>
    </xdr:to>
    <xdr:cxnSp macro="">
      <xdr:nvCxnSpPr>
        <xdr:cNvPr id="87" name="Straight Connector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CxnSpPr/>
      </xdr:nvCxnSpPr>
      <xdr:spPr>
        <a:xfrm>
          <a:off x="4752277" y="2085278"/>
          <a:ext cx="0" cy="715537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611457</xdr:colOff>
      <xdr:row>8</xdr:row>
      <xdr:rowOff>109654</xdr:rowOff>
    </xdr:from>
    <xdr:to>
      <xdr:col>7</xdr:col>
      <xdr:colOff>611457</xdr:colOff>
      <xdr:row>11</xdr:row>
      <xdr:rowOff>174703</xdr:rowOff>
    </xdr:to>
    <xdr:cxnSp macro="">
      <xdr:nvCxnSpPr>
        <xdr:cNvPr id="88" name="Straight Connector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CxnSpPr/>
      </xdr:nvCxnSpPr>
      <xdr:spPr>
        <a:xfrm>
          <a:off x="4904677" y="2088995"/>
          <a:ext cx="0" cy="715537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197004</xdr:colOff>
      <xdr:row>8</xdr:row>
      <xdr:rowOff>113371</xdr:rowOff>
    </xdr:from>
    <xdr:to>
      <xdr:col>8</xdr:col>
      <xdr:colOff>197004</xdr:colOff>
      <xdr:row>11</xdr:row>
      <xdr:rowOff>178420</xdr:rowOff>
    </xdr:to>
    <xdr:cxnSp macro="">
      <xdr:nvCxnSpPr>
        <xdr:cNvPr id="89" name="Straight Connector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CxnSpPr/>
      </xdr:nvCxnSpPr>
      <xdr:spPr>
        <a:xfrm>
          <a:off x="5103541" y="2092712"/>
          <a:ext cx="0" cy="715537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423745</xdr:colOff>
      <xdr:row>8</xdr:row>
      <xdr:rowOff>107796</xdr:rowOff>
    </xdr:from>
    <xdr:to>
      <xdr:col>8</xdr:col>
      <xdr:colOff>423745</xdr:colOff>
      <xdr:row>11</xdr:row>
      <xdr:rowOff>172845</xdr:rowOff>
    </xdr:to>
    <xdr:cxnSp macro="">
      <xdr:nvCxnSpPr>
        <xdr:cNvPr id="90" name="Straight Connector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CxnSpPr/>
      </xdr:nvCxnSpPr>
      <xdr:spPr>
        <a:xfrm>
          <a:off x="5330282" y="2087137"/>
          <a:ext cx="0" cy="715537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18584</xdr:colOff>
      <xdr:row>8</xdr:row>
      <xdr:rowOff>111513</xdr:rowOff>
    </xdr:from>
    <xdr:to>
      <xdr:col>9</xdr:col>
      <xdr:colOff>18584</xdr:colOff>
      <xdr:row>11</xdr:row>
      <xdr:rowOff>176562</xdr:rowOff>
    </xdr:to>
    <xdr:cxnSp macro="">
      <xdr:nvCxnSpPr>
        <xdr:cNvPr id="91" name="Straight Connector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CxnSpPr/>
      </xdr:nvCxnSpPr>
      <xdr:spPr>
        <a:xfrm>
          <a:off x="5538438" y="2090854"/>
          <a:ext cx="0" cy="715537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561278</xdr:colOff>
      <xdr:row>8</xdr:row>
      <xdr:rowOff>105937</xdr:rowOff>
    </xdr:from>
    <xdr:to>
      <xdr:col>16</xdr:col>
      <xdr:colOff>561278</xdr:colOff>
      <xdr:row>11</xdr:row>
      <xdr:rowOff>170986</xdr:rowOff>
    </xdr:to>
    <xdr:cxnSp macro="">
      <xdr:nvCxnSpPr>
        <xdr:cNvPr id="92" name="Straight Connector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CxnSpPr/>
      </xdr:nvCxnSpPr>
      <xdr:spPr>
        <a:xfrm>
          <a:off x="10374351" y="2085278"/>
          <a:ext cx="0" cy="715537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109653</xdr:colOff>
      <xdr:row>8</xdr:row>
      <xdr:rowOff>109654</xdr:rowOff>
    </xdr:from>
    <xdr:to>
      <xdr:col>17</xdr:col>
      <xdr:colOff>109653</xdr:colOff>
      <xdr:row>11</xdr:row>
      <xdr:rowOff>174703</xdr:rowOff>
    </xdr:to>
    <xdr:cxnSp macro="">
      <xdr:nvCxnSpPr>
        <xdr:cNvPr id="93" name="Straight Connector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CxnSpPr/>
      </xdr:nvCxnSpPr>
      <xdr:spPr>
        <a:xfrm>
          <a:off x="10536043" y="2088995"/>
          <a:ext cx="0" cy="715537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280639</xdr:colOff>
      <xdr:row>8</xdr:row>
      <xdr:rowOff>113371</xdr:rowOff>
    </xdr:from>
    <xdr:to>
      <xdr:col>17</xdr:col>
      <xdr:colOff>280639</xdr:colOff>
      <xdr:row>11</xdr:row>
      <xdr:rowOff>178420</xdr:rowOff>
    </xdr:to>
    <xdr:cxnSp macro="">
      <xdr:nvCxnSpPr>
        <xdr:cNvPr id="94" name="Straight Connector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CxnSpPr/>
      </xdr:nvCxnSpPr>
      <xdr:spPr>
        <a:xfrm>
          <a:off x="10707029" y="2092712"/>
          <a:ext cx="0" cy="715537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198862</xdr:colOff>
      <xdr:row>8</xdr:row>
      <xdr:rowOff>96645</xdr:rowOff>
    </xdr:from>
    <xdr:to>
      <xdr:col>9</xdr:col>
      <xdr:colOff>198862</xdr:colOff>
      <xdr:row>11</xdr:row>
      <xdr:rowOff>161694</xdr:rowOff>
    </xdr:to>
    <xdr:cxnSp macro="">
      <xdr:nvCxnSpPr>
        <xdr:cNvPr id="95" name="Straight Connector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CxnSpPr/>
      </xdr:nvCxnSpPr>
      <xdr:spPr>
        <a:xfrm>
          <a:off x="5718716" y="2075986"/>
          <a:ext cx="0" cy="715537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369847</xdr:colOff>
      <xdr:row>8</xdr:row>
      <xdr:rowOff>118947</xdr:rowOff>
    </xdr:from>
    <xdr:to>
      <xdr:col>9</xdr:col>
      <xdr:colOff>369847</xdr:colOff>
      <xdr:row>11</xdr:row>
      <xdr:rowOff>183996</xdr:rowOff>
    </xdr:to>
    <xdr:cxnSp macro="">
      <xdr:nvCxnSpPr>
        <xdr:cNvPr id="96" name="Straight Connector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CxnSpPr/>
      </xdr:nvCxnSpPr>
      <xdr:spPr>
        <a:xfrm>
          <a:off x="5889701" y="2098288"/>
          <a:ext cx="0" cy="715537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550126</xdr:colOff>
      <xdr:row>8</xdr:row>
      <xdr:rowOff>113371</xdr:rowOff>
    </xdr:from>
    <xdr:to>
      <xdr:col>9</xdr:col>
      <xdr:colOff>550126</xdr:colOff>
      <xdr:row>11</xdr:row>
      <xdr:rowOff>178420</xdr:rowOff>
    </xdr:to>
    <xdr:cxnSp macro="">
      <xdr:nvCxnSpPr>
        <xdr:cNvPr id="97" name="Straight Connector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CxnSpPr/>
      </xdr:nvCxnSpPr>
      <xdr:spPr>
        <a:xfrm>
          <a:off x="6069980" y="2092712"/>
          <a:ext cx="0" cy="715537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89208</xdr:colOff>
      <xdr:row>8</xdr:row>
      <xdr:rowOff>107796</xdr:rowOff>
    </xdr:from>
    <xdr:to>
      <xdr:col>10</xdr:col>
      <xdr:colOff>89208</xdr:colOff>
      <xdr:row>11</xdr:row>
      <xdr:rowOff>172845</xdr:rowOff>
    </xdr:to>
    <xdr:cxnSp macro="">
      <xdr:nvCxnSpPr>
        <xdr:cNvPr id="98" name="Straight Connector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CxnSpPr/>
      </xdr:nvCxnSpPr>
      <xdr:spPr>
        <a:xfrm>
          <a:off x="6222379" y="2087137"/>
          <a:ext cx="0" cy="715537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278779</xdr:colOff>
      <xdr:row>8</xdr:row>
      <xdr:rowOff>111513</xdr:rowOff>
    </xdr:from>
    <xdr:to>
      <xdr:col>10</xdr:col>
      <xdr:colOff>278779</xdr:colOff>
      <xdr:row>11</xdr:row>
      <xdr:rowOff>176562</xdr:rowOff>
    </xdr:to>
    <xdr:cxnSp macro="">
      <xdr:nvCxnSpPr>
        <xdr:cNvPr id="99" name="Straight Connector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CxnSpPr/>
      </xdr:nvCxnSpPr>
      <xdr:spPr>
        <a:xfrm>
          <a:off x="6411950" y="2090854"/>
          <a:ext cx="0" cy="715537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468350</xdr:colOff>
      <xdr:row>8</xdr:row>
      <xdr:rowOff>124523</xdr:rowOff>
    </xdr:from>
    <xdr:to>
      <xdr:col>10</xdr:col>
      <xdr:colOff>468350</xdr:colOff>
      <xdr:row>11</xdr:row>
      <xdr:rowOff>189572</xdr:rowOff>
    </xdr:to>
    <xdr:cxnSp macro="">
      <xdr:nvCxnSpPr>
        <xdr:cNvPr id="100" name="Straight Connector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CxnSpPr/>
      </xdr:nvCxnSpPr>
      <xdr:spPr>
        <a:xfrm>
          <a:off x="6601521" y="2103864"/>
          <a:ext cx="0" cy="715537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118945</xdr:colOff>
      <xdr:row>8</xdr:row>
      <xdr:rowOff>118948</xdr:rowOff>
    </xdr:from>
    <xdr:to>
      <xdr:col>11</xdr:col>
      <xdr:colOff>118945</xdr:colOff>
      <xdr:row>11</xdr:row>
      <xdr:rowOff>183997</xdr:rowOff>
    </xdr:to>
    <xdr:cxnSp macro="">
      <xdr:nvCxnSpPr>
        <xdr:cNvPr id="101" name="Straight Connector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CxnSpPr/>
      </xdr:nvCxnSpPr>
      <xdr:spPr>
        <a:xfrm>
          <a:off x="6865433" y="2098289"/>
          <a:ext cx="0" cy="715537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299223</xdr:colOff>
      <xdr:row>8</xdr:row>
      <xdr:rowOff>113372</xdr:rowOff>
    </xdr:from>
    <xdr:to>
      <xdr:col>11</xdr:col>
      <xdr:colOff>299223</xdr:colOff>
      <xdr:row>11</xdr:row>
      <xdr:rowOff>178421</xdr:rowOff>
    </xdr:to>
    <xdr:cxnSp macro="">
      <xdr:nvCxnSpPr>
        <xdr:cNvPr id="102" name="Straight Connector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CxnSpPr/>
      </xdr:nvCxnSpPr>
      <xdr:spPr>
        <a:xfrm>
          <a:off x="7045711" y="2092713"/>
          <a:ext cx="0" cy="715537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460916</xdr:colOff>
      <xdr:row>8</xdr:row>
      <xdr:rowOff>98504</xdr:rowOff>
    </xdr:from>
    <xdr:to>
      <xdr:col>11</xdr:col>
      <xdr:colOff>460916</xdr:colOff>
      <xdr:row>11</xdr:row>
      <xdr:rowOff>163553</xdr:rowOff>
    </xdr:to>
    <xdr:cxnSp macro="">
      <xdr:nvCxnSpPr>
        <xdr:cNvPr id="103" name="Straight Connector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>
          <a:off x="7207404" y="2077845"/>
          <a:ext cx="0" cy="715537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37170</xdr:colOff>
      <xdr:row>8</xdr:row>
      <xdr:rowOff>111513</xdr:rowOff>
    </xdr:from>
    <xdr:to>
      <xdr:col>12</xdr:col>
      <xdr:colOff>37170</xdr:colOff>
      <xdr:row>11</xdr:row>
      <xdr:rowOff>176562</xdr:rowOff>
    </xdr:to>
    <xdr:cxnSp macro="">
      <xdr:nvCxnSpPr>
        <xdr:cNvPr id="104" name="Straight Connector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CxnSpPr/>
      </xdr:nvCxnSpPr>
      <xdr:spPr>
        <a:xfrm>
          <a:off x="7396975" y="2090854"/>
          <a:ext cx="0" cy="715537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254619</xdr:colOff>
      <xdr:row>8</xdr:row>
      <xdr:rowOff>124523</xdr:rowOff>
    </xdr:from>
    <xdr:to>
      <xdr:col>12</xdr:col>
      <xdr:colOff>254619</xdr:colOff>
      <xdr:row>11</xdr:row>
      <xdr:rowOff>189572</xdr:rowOff>
    </xdr:to>
    <xdr:cxnSp macro="">
      <xdr:nvCxnSpPr>
        <xdr:cNvPr id="105" name="Straight Connector 104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CxnSpPr/>
      </xdr:nvCxnSpPr>
      <xdr:spPr>
        <a:xfrm>
          <a:off x="7614424" y="2103864"/>
          <a:ext cx="0" cy="715537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425603</xdr:colOff>
      <xdr:row>8</xdr:row>
      <xdr:rowOff>118947</xdr:rowOff>
    </xdr:from>
    <xdr:to>
      <xdr:col>12</xdr:col>
      <xdr:colOff>425603</xdr:colOff>
      <xdr:row>11</xdr:row>
      <xdr:rowOff>183996</xdr:rowOff>
    </xdr:to>
    <xdr:cxnSp macro="">
      <xdr:nvCxnSpPr>
        <xdr:cNvPr id="106" name="Straight Connector 105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CxnSpPr/>
      </xdr:nvCxnSpPr>
      <xdr:spPr>
        <a:xfrm>
          <a:off x="7785408" y="2098288"/>
          <a:ext cx="0" cy="715537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29735</xdr:colOff>
      <xdr:row>8</xdr:row>
      <xdr:rowOff>122665</xdr:rowOff>
    </xdr:from>
    <xdr:to>
      <xdr:col>13</xdr:col>
      <xdr:colOff>29735</xdr:colOff>
      <xdr:row>11</xdr:row>
      <xdr:rowOff>187714</xdr:rowOff>
    </xdr:to>
    <xdr:cxnSp macro="">
      <xdr:nvCxnSpPr>
        <xdr:cNvPr id="107" name="Straight Connector 106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CxnSpPr/>
      </xdr:nvCxnSpPr>
      <xdr:spPr>
        <a:xfrm>
          <a:off x="8002857" y="2102006"/>
          <a:ext cx="0" cy="715537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265769</xdr:colOff>
      <xdr:row>8</xdr:row>
      <xdr:rowOff>117089</xdr:rowOff>
    </xdr:from>
    <xdr:to>
      <xdr:col>13</xdr:col>
      <xdr:colOff>265769</xdr:colOff>
      <xdr:row>11</xdr:row>
      <xdr:rowOff>182138</xdr:rowOff>
    </xdr:to>
    <xdr:cxnSp macro="">
      <xdr:nvCxnSpPr>
        <xdr:cNvPr id="108" name="Straight Connector 107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CxnSpPr/>
      </xdr:nvCxnSpPr>
      <xdr:spPr>
        <a:xfrm>
          <a:off x="8238891" y="2096430"/>
          <a:ext cx="0" cy="715537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464633</xdr:colOff>
      <xdr:row>8</xdr:row>
      <xdr:rowOff>102221</xdr:rowOff>
    </xdr:from>
    <xdr:to>
      <xdr:col>13</xdr:col>
      <xdr:colOff>464633</xdr:colOff>
      <xdr:row>11</xdr:row>
      <xdr:rowOff>167270</xdr:rowOff>
    </xdr:to>
    <xdr:cxnSp macro="">
      <xdr:nvCxnSpPr>
        <xdr:cNvPr id="109" name="Straight Connector 108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CxnSpPr/>
      </xdr:nvCxnSpPr>
      <xdr:spPr>
        <a:xfrm>
          <a:off x="8437755" y="2081562"/>
          <a:ext cx="0" cy="715537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50179</xdr:colOff>
      <xdr:row>8</xdr:row>
      <xdr:rowOff>87353</xdr:rowOff>
    </xdr:from>
    <xdr:to>
      <xdr:col>14</xdr:col>
      <xdr:colOff>50179</xdr:colOff>
      <xdr:row>11</xdr:row>
      <xdr:rowOff>152402</xdr:rowOff>
    </xdr:to>
    <xdr:cxnSp macro="">
      <xdr:nvCxnSpPr>
        <xdr:cNvPr id="110" name="Straight Connector 109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CxnSpPr/>
      </xdr:nvCxnSpPr>
      <xdr:spPr>
        <a:xfrm>
          <a:off x="8636618" y="2066694"/>
          <a:ext cx="0" cy="715537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230457</xdr:colOff>
      <xdr:row>8</xdr:row>
      <xdr:rowOff>91069</xdr:rowOff>
    </xdr:from>
    <xdr:to>
      <xdr:col>14</xdr:col>
      <xdr:colOff>230457</xdr:colOff>
      <xdr:row>11</xdr:row>
      <xdr:rowOff>156118</xdr:rowOff>
    </xdr:to>
    <xdr:cxnSp macro="">
      <xdr:nvCxnSpPr>
        <xdr:cNvPr id="111" name="Straight Connector 11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CxnSpPr/>
      </xdr:nvCxnSpPr>
      <xdr:spPr>
        <a:xfrm>
          <a:off x="8816896" y="2070410"/>
          <a:ext cx="0" cy="715537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438613</xdr:colOff>
      <xdr:row>8</xdr:row>
      <xdr:rowOff>104079</xdr:rowOff>
    </xdr:from>
    <xdr:to>
      <xdr:col>14</xdr:col>
      <xdr:colOff>438613</xdr:colOff>
      <xdr:row>11</xdr:row>
      <xdr:rowOff>169128</xdr:rowOff>
    </xdr:to>
    <xdr:cxnSp macro="">
      <xdr:nvCxnSpPr>
        <xdr:cNvPr id="112" name="Straight Connector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CxnSpPr/>
      </xdr:nvCxnSpPr>
      <xdr:spPr>
        <a:xfrm>
          <a:off x="9025052" y="2083420"/>
          <a:ext cx="0" cy="715537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14867</xdr:colOff>
      <xdr:row>8</xdr:row>
      <xdr:rowOff>107796</xdr:rowOff>
    </xdr:from>
    <xdr:to>
      <xdr:col>15</xdr:col>
      <xdr:colOff>14867</xdr:colOff>
      <xdr:row>11</xdr:row>
      <xdr:rowOff>172845</xdr:rowOff>
    </xdr:to>
    <xdr:cxnSp macro="">
      <xdr:nvCxnSpPr>
        <xdr:cNvPr id="113" name="Straight Connector 11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CxnSpPr/>
      </xdr:nvCxnSpPr>
      <xdr:spPr>
        <a:xfrm>
          <a:off x="9214623" y="2087137"/>
          <a:ext cx="0" cy="715537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223022</xdr:colOff>
      <xdr:row>8</xdr:row>
      <xdr:rowOff>120806</xdr:rowOff>
    </xdr:from>
    <xdr:to>
      <xdr:col>15</xdr:col>
      <xdr:colOff>223022</xdr:colOff>
      <xdr:row>11</xdr:row>
      <xdr:rowOff>185855</xdr:rowOff>
    </xdr:to>
    <xdr:cxnSp macro="">
      <xdr:nvCxnSpPr>
        <xdr:cNvPr id="114" name="Straight Connector 11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CxnSpPr/>
      </xdr:nvCxnSpPr>
      <xdr:spPr>
        <a:xfrm>
          <a:off x="9422778" y="2100147"/>
          <a:ext cx="0" cy="715537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449764</xdr:colOff>
      <xdr:row>8</xdr:row>
      <xdr:rowOff>115230</xdr:rowOff>
    </xdr:from>
    <xdr:to>
      <xdr:col>15</xdr:col>
      <xdr:colOff>449764</xdr:colOff>
      <xdr:row>11</xdr:row>
      <xdr:rowOff>180279</xdr:rowOff>
    </xdr:to>
    <xdr:cxnSp macro="">
      <xdr:nvCxnSpPr>
        <xdr:cNvPr id="115" name="Straight Connector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>
        <a:xfrm>
          <a:off x="9649520" y="2094571"/>
          <a:ext cx="0" cy="715537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44604</xdr:colOff>
      <xdr:row>8</xdr:row>
      <xdr:rowOff>100361</xdr:rowOff>
    </xdr:from>
    <xdr:to>
      <xdr:col>16</xdr:col>
      <xdr:colOff>44604</xdr:colOff>
      <xdr:row>11</xdr:row>
      <xdr:rowOff>165410</xdr:rowOff>
    </xdr:to>
    <xdr:cxnSp macro="">
      <xdr:nvCxnSpPr>
        <xdr:cNvPr id="116" name="Straight Connector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/>
      </xdr:nvCxnSpPr>
      <xdr:spPr>
        <a:xfrm>
          <a:off x="9857677" y="2079702"/>
          <a:ext cx="0" cy="715537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354979</xdr:colOff>
      <xdr:row>8</xdr:row>
      <xdr:rowOff>85494</xdr:rowOff>
    </xdr:from>
    <xdr:to>
      <xdr:col>16</xdr:col>
      <xdr:colOff>354979</xdr:colOff>
      <xdr:row>11</xdr:row>
      <xdr:rowOff>150543</xdr:rowOff>
    </xdr:to>
    <xdr:cxnSp macro="">
      <xdr:nvCxnSpPr>
        <xdr:cNvPr id="117" name="Straight Connector 116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CxnSpPr/>
      </xdr:nvCxnSpPr>
      <xdr:spPr>
        <a:xfrm>
          <a:off x="10168052" y="2064835"/>
          <a:ext cx="0" cy="715537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200720</xdr:colOff>
      <xdr:row>8</xdr:row>
      <xdr:rowOff>117089</xdr:rowOff>
    </xdr:from>
    <xdr:to>
      <xdr:col>16</xdr:col>
      <xdr:colOff>200720</xdr:colOff>
      <xdr:row>11</xdr:row>
      <xdr:rowOff>182138</xdr:rowOff>
    </xdr:to>
    <xdr:cxnSp macro="">
      <xdr:nvCxnSpPr>
        <xdr:cNvPr id="118" name="Straight Connector 117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CxnSpPr/>
      </xdr:nvCxnSpPr>
      <xdr:spPr>
        <a:xfrm>
          <a:off x="10013793" y="2096430"/>
          <a:ext cx="0" cy="715537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W83"/>
  <sheetViews>
    <sheetView tabSelected="1" zoomScale="86" zoomScaleNormal="86" workbookViewId="0">
      <selection activeCell="D2" sqref="D2:N2"/>
    </sheetView>
  </sheetViews>
  <sheetFormatPr defaultRowHeight="15" x14ac:dyDescent="0.25"/>
  <cols>
    <col min="1" max="1" width="25.7109375" customWidth="1"/>
    <col min="3" max="3" width="13.28515625" customWidth="1"/>
  </cols>
  <sheetData>
    <row r="2" spans="1:14" ht="37.9" customHeight="1" x14ac:dyDescent="0.5">
      <c r="D2" s="20" t="s">
        <v>0</v>
      </c>
      <c r="E2" s="20"/>
      <c r="F2" s="20"/>
      <c r="G2" s="20"/>
      <c r="H2" s="20"/>
      <c r="I2" s="20"/>
      <c r="J2" s="20"/>
      <c r="K2" s="20"/>
      <c r="L2" s="20"/>
      <c r="M2" s="20"/>
      <c r="N2" s="20"/>
    </row>
    <row r="4" spans="1:14" ht="23.25" x14ac:dyDescent="0.35">
      <c r="G4" s="21" t="s">
        <v>7</v>
      </c>
      <c r="H4" s="21"/>
      <c r="I4" s="21"/>
      <c r="J4" s="21"/>
      <c r="K4" s="21"/>
    </row>
    <row r="8" spans="1:14" ht="21" x14ac:dyDescent="0.35">
      <c r="A8" s="22" t="s">
        <v>8</v>
      </c>
      <c r="B8" s="22"/>
      <c r="C8" s="22"/>
    </row>
    <row r="9" spans="1:14" x14ac:dyDescent="0.25">
      <c r="A9" s="1"/>
      <c r="B9" s="1"/>
      <c r="C9" s="1"/>
    </row>
    <row r="10" spans="1:14" ht="18.75" x14ac:dyDescent="0.3">
      <c r="A10" s="2" t="s">
        <v>9</v>
      </c>
      <c r="B10" s="2">
        <v>7000</v>
      </c>
      <c r="C10" s="2" t="s">
        <v>2</v>
      </c>
    </row>
    <row r="11" spans="1:14" ht="18.75" x14ac:dyDescent="0.3">
      <c r="A11" s="2" t="s">
        <v>1</v>
      </c>
      <c r="B11" s="2">
        <v>700</v>
      </c>
      <c r="C11" s="2" t="s">
        <v>2</v>
      </c>
    </row>
    <row r="12" spans="1:14" ht="18.75" x14ac:dyDescent="0.3">
      <c r="A12" s="2" t="s">
        <v>12</v>
      </c>
      <c r="B12" s="2">
        <v>300</v>
      </c>
      <c r="C12" s="2" t="s">
        <v>2</v>
      </c>
    </row>
    <row r="13" spans="1:14" ht="18.75" x14ac:dyDescent="0.3">
      <c r="A13" s="2" t="s">
        <v>10</v>
      </c>
      <c r="B13" s="2">
        <v>300</v>
      </c>
      <c r="C13" s="2" t="s">
        <v>2</v>
      </c>
    </row>
    <row r="14" spans="1:14" ht="18.75" x14ac:dyDescent="0.3">
      <c r="A14" s="2" t="s">
        <v>11</v>
      </c>
      <c r="B14" s="2">
        <v>300</v>
      </c>
      <c r="C14" s="2" t="s">
        <v>2</v>
      </c>
    </row>
    <row r="15" spans="1:14" ht="15.75" thickBot="1" x14ac:dyDescent="0.3"/>
    <row r="16" spans="1:14" x14ac:dyDescent="0.25">
      <c r="C16" s="7"/>
      <c r="D16" s="8" t="s">
        <v>14</v>
      </c>
      <c r="E16" s="9" t="s">
        <v>15</v>
      </c>
    </row>
    <row r="17" spans="1:23" ht="19.5" thickBot="1" x14ac:dyDescent="0.35">
      <c r="C17" s="10" t="s">
        <v>27</v>
      </c>
      <c r="D17" s="11">
        <v>500</v>
      </c>
      <c r="E17" s="12">
        <v>2500</v>
      </c>
    </row>
    <row r="18" spans="1:23" ht="21" x14ac:dyDescent="0.35">
      <c r="A18" s="22" t="s">
        <v>33</v>
      </c>
      <c r="B18" s="22"/>
      <c r="C18" s="22"/>
      <c r="K18" s="4" t="s">
        <v>14</v>
      </c>
      <c r="L18" s="4" t="s">
        <v>15</v>
      </c>
    </row>
    <row r="19" spans="1:23" ht="21" x14ac:dyDescent="0.35">
      <c r="A19" s="18" t="s">
        <v>3</v>
      </c>
      <c r="B19" s="18">
        <v>3</v>
      </c>
      <c r="C19" s="18"/>
      <c r="J19" s="5" t="s">
        <v>13</v>
      </c>
      <c r="K19" s="15">
        <f>D17</f>
        <v>500</v>
      </c>
      <c r="L19" s="15">
        <f>E17</f>
        <v>2500</v>
      </c>
    </row>
    <row r="20" spans="1:23" ht="21" x14ac:dyDescent="0.35">
      <c r="A20" s="18" t="s">
        <v>6</v>
      </c>
      <c r="B20" s="18">
        <v>16</v>
      </c>
      <c r="C20" s="18" t="s">
        <v>2</v>
      </c>
      <c r="J20" s="5" t="s">
        <v>16</v>
      </c>
      <c r="K20" s="15">
        <f>D17</f>
        <v>500</v>
      </c>
      <c r="L20" s="15">
        <f>B11*2+E17</f>
        <v>3900</v>
      </c>
      <c r="P20" s="23" t="s">
        <v>36</v>
      </c>
      <c r="Q20" s="23"/>
      <c r="R20" s="23"/>
      <c r="S20" s="23"/>
      <c r="T20" s="23"/>
      <c r="U20" s="23"/>
      <c r="V20" s="23"/>
      <c r="W20" s="23"/>
    </row>
    <row r="21" spans="1:23" ht="21" x14ac:dyDescent="0.35">
      <c r="A21" s="18" t="s">
        <v>4</v>
      </c>
      <c r="B21" s="18">
        <v>3</v>
      </c>
      <c r="C21" s="18"/>
      <c r="J21" s="6" t="s">
        <v>17</v>
      </c>
      <c r="K21" s="16">
        <f>B13+D17</f>
        <v>800</v>
      </c>
      <c r="L21" s="16">
        <f>B11*2+E17</f>
        <v>3900</v>
      </c>
      <c r="P21" s="23" t="s">
        <v>35</v>
      </c>
      <c r="Q21" s="23"/>
      <c r="R21" s="23"/>
      <c r="S21" s="23"/>
      <c r="T21" s="23"/>
      <c r="U21" s="23"/>
      <c r="V21" s="23"/>
      <c r="W21" s="23"/>
    </row>
    <row r="22" spans="1:23" ht="21" x14ac:dyDescent="0.35">
      <c r="A22" s="18" t="s">
        <v>6</v>
      </c>
      <c r="B22" s="18">
        <v>20</v>
      </c>
      <c r="C22" s="18" t="s">
        <v>2</v>
      </c>
      <c r="J22" s="6" t="s">
        <v>18</v>
      </c>
      <c r="K22" s="16">
        <f>B13+D17</f>
        <v>800</v>
      </c>
      <c r="L22" s="16">
        <f>B11+B11/2+E17</f>
        <v>3550</v>
      </c>
    </row>
    <row r="23" spans="1:23" ht="21" x14ac:dyDescent="0.35">
      <c r="A23" s="18" t="s">
        <v>5</v>
      </c>
      <c r="B23" s="18">
        <v>30</v>
      </c>
      <c r="C23" s="18" t="s">
        <v>2</v>
      </c>
      <c r="J23" s="6" t="s">
        <v>19</v>
      </c>
      <c r="K23" s="16">
        <f>B13+B10+D17</f>
        <v>7800</v>
      </c>
      <c r="L23" s="16">
        <f>B11/2+B11+E17</f>
        <v>3550</v>
      </c>
    </row>
    <row r="24" spans="1:23" ht="21" x14ac:dyDescent="0.35">
      <c r="A24" s="19" t="s">
        <v>30</v>
      </c>
      <c r="J24" s="6" t="s">
        <v>20</v>
      </c>
      <c r="K24" s="16">
        <f>B13+B10+D17</f>
        <v>7800</v>
      </c>
      <c r="L24" s="16">
        <f>B11*2+E17</f>
        <v>3900</v>
      </c>
    </row>
    <row r="25" spans="1:23" ht="21" x14ac:dyDescent="0.35">
      <c r="A25" s="18" t="s">
        <v>28</v>
      </c>
      <c r="B25" s="18">
        <v>150</v>
      </c>
      <c r="C25" s="18" t="s">
        <v>2</v>
      </c>
      <c r="J25" s="13" t="s">
        <v>21</v>
      </c>
      <c r="K25" s="3">
        <f>B13+D17</f>
        <v>800</v>
      </c>
      <c r="L25" s="3">
        <f>E17</f>
        <v>2500</v>
      </c>
    </row>
    <row r="26" spans="1:23" ht="21" x14ac:dyDescent="0.35">
      <c r="A26" s="18" t="s">
        <v>29</v>
      </c>
      <c r="B26" s="18">
        <v>10</v>
      </c>
      <c r="C26" s="18" t="s">
        <v>2</v>
      </c>
      <c r="J26" s="13" t="s">
        <v>22</v>
      </c>
      <c r="K26" s="3">
        <f>B13+D17</f>
        <v>800</v>
      </c>
      <c r="L26" s="3">
        <f>B11/2+E17</f>
        <v>2850</v>
      </c>
    </row>
    <row r="27" spans="1:23" ht="21" x14ac:dyDescent="0.35">
      <c r="A27" s="18" t="s">
        <v>34</v>
      </c>
      <c r="B27" s="18">
        <v>1000</v>
      </c>
      <c r="C27" s="18" t="s">
        <v>2</v>
      </c>
      <c r="J27" s="13" t="s">
        <v>23</v>
      </c>
      <c r="K27" s="3">
        <f>B13+B10+D17</f>
        <v>7800</v>
      </c>
      <c r="L27" s="3">
        <f>B11/2+E17</f>
        <v>2850</v>
      </c>
    </row>
    <row r="28" spans="1:23" ht="21" x14ac:dyDescent="0.35">
      <c r="A28" s="19" t="s">
        <v>32</v>
      </c>
      <c r="J28" s="13" t="s">
        <v>24</v>
      </c>
      <c r="K28" s="3">
        <f>B13+B10+D17</f>
        <v>7800</v>
      </c>
      <c r="L28" s="3">
        <f>E17</f>
        <v>2500</v>
      </c>
    </row>
    <row r="29" spans="1:23" ht="21" x14ac:dyDescent="0.35">
      <c r="A29" s="18" t="s">
        <v>28</v>
      </c>
      <c r="B29" s="18">
        <v>200</v>
      </c>
      <c r="C29" s="18" t="s">
        <v>2</v>
      </c>
      <c r="J29" s="14" t="s">
        <v>25</v>
      </c>
      <c r="K29" s="17">
        <f>B13+B14+B10+D17</f>
        <v>8100</v>
      </c>
      <c r="L29" s="17">
        <f>B11*2+E17</f>
        <v>3900</v>
      </c>
    </row>
    <row r="30" spans="1:23" ht="21" x14ac:dyDescent="0.35">
      <c r="A30" s="18" t="s">
        <v>29</v>
      </c>
      <c r="B30" s="18">
        <v>10</v>
      </c>
      <c r="C30" s="18" t="s">
        <v>2</v>
      </c>
      <c r="J30" s="14" t="s">
        <v>26</v>
      </c>
      <c r="K30" s="17">
        <f>B13+B14+B10+D17</f>
        <v>8100</v>
      </c>
      <c r="L30" s="17">
        <f>E17</f>
        <v>2500</v>
      </c>
    </row>
    <row r="31" spans="1:23" ht="21" x14ac:dyDescent="0.35">
      <c r="A31" s="18" t="s">
        <v>34</v>
      </c>
      <c r="B31" s="18">
        <v>5000</v>
      </c>
      <c r="C31" s="18" t="s">
        <v>2</v>
      </c>
    </row>
    <row r="32" spans="1:23" ht="21" x14ac:dyDescent="0.35">
      <c r="A32" s="19" t="s">
        <v>31</v>
      </c>
    </row>
    <row r="33" spans="1:3" ht="21" x14ac:dyDescent="0.35">
      <c r="A33" s="18" t="s">
        <v>28</v>
      </c>
      <c r="B33" s="18">
        <v>150</v>
      </c>
      <c r="C33" s="18" t="s">
        <v>2</v>
      </c>
    </row>
    <row r="34" spans="1:3" ht="21" x14ac:dyDescent="0.35">
      <c r="A34" s="18" t="s">
        <v>29</v>
      </c>
      <c r="B34" s="18">
        <v>10</v>
      </c>
      <c r="C34" s="18" t="s">
        <v>2</v>
      </c>
    </row>
    <row r="35" spans="1:3" ht="21" x14ac:dyDescent="0.35">
      <c r="A35" s="18" t="s">
        <v>34</v>
      </c>
      <c r="B35" s="18">
        <v>1000</v>
      </c>
      <c r="C35" s="18" t="s">
        <v>2</v>
      </c>
    </row>
    <row r="77" spans="2:2" x14ac:dyDescent="0.25">
      <c r="B77">
        <v>10</v>
      </c>
    </row>
    <row r="78" spans="2:2" x14ac:dyDescent="0.25">
      <c r="B78">
        <v>12</v>
      </c>
    </row>
    <row r="79" spans="2:2" x14ac:dyDescent="0.25">
      <c r="B79">
        <v>16</v>
      </c>
    </row>
    <row r="80" spans="2:2" x14ac:dyDescent="0.25">
      <c r="B80">
        <v>20</v>
      </c>
    </row>
    <row r="81" spans="2:2" x14ac:dyDescent="0.25">
      <c r="B81">
        <v>25</v>
      </c>
    </row>
    <row r="82" spans="2:2" x14ac:dyDescent="0.25">
      <c r="B82">
        <v>32</v>
      </c>
    </row>
    <row r="83" spans="2:2" x14ac:dyDescent="0.25">
      <c r="B83">
        <v>40</v>
      </c>
    </row>
  </sheetData>
  <mergeCells count="6">
    <mergeCell ref="D2:N2"/>
    <mergeCell ref="G4:K4"/>
    <mergeCell ref="A8:C8"/>
    <mergeCell ref="A18:C18"/>
    <mergeCell ref="P21:W21"/>
    <mergeCell ref="P20:W20"/>
  </mergeCells>
  <dataValidations count="1">
    <dataValidation type="list" allowBlank="1" showInputMessage="1" showErrorMessage="1" sqref="B26 B30 B34 B22 B20" xr:uid="{00000000-0002-0000-0000-000000000000}">
      <formula1>$B$77:$B$83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5</xdr:col>
                <xdr:colOff>238125</xdr:colOff>
                <xdr:row>17</xdr:row>
                <xdr:rowOff>171450</xdr:rowOff>
              </from>
              <to>
                <xdr:col>8</xdr:col>
                <xdr:colOff>285750</xdr:colOff>
                <xdr:row>19</xdr:row>
                <xdr:rowOff>238125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Drawbeam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rkamd</dc:creator>
  <cp:lastModifiedBy>Vivek Patel</cp:lastModifiedBy>
  <dcterms:created xsi:type="dcterms:W3CDTF">2020-05-24T10:29:48Z</dcterms:created>
  <dcterms:modified xsi:type="dcterms:W3CDTF">2021-12-17T10:08:35Z</dcterms:modified>
</cp:coreProperties>
</file>